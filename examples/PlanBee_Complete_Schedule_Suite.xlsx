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Expansion Master" sheetId="1" state="visible" r:id="rId1"/>
    <sheet xmlns:r="http://schemas.openxmlformats.org/officeDocument/2006/relationships" name="S-Curve Progress" sheetId="2" state="visible" r:id="rId2"/>
    <sheet xmlns:r="http://schemas.openxmlformats.org/officeDocument/2006/relationships" name="DCMA 14-Point Report" sheetId="3" state="visible" r:id="rId3"/>
    <sheet xmlns:r="http://schemas.openxmlformats.org/officeDocument/2006/relationships" name="4-Week Lookah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color rgb="000F172A"/>
      <sz val="9"/>
    </font>
    <font>
      <b val="1"/>
      <color rgb="00991B1B"/>
    </font>
    <font>
      <b val="1"/>
      <color rgb="00166534"/>
    </font>
  </fonts>
  <fills count="7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2" fontId="2" fillId="3" borderId="0" pivotButton="0" quotePrefix="0" xfId="0"/>
    <xf numFmtId="0" fontId="1" fillId="2" borderId="0" pivotButton="0" quotePrefix="0" xfId="0"/>
    <xf numFmtId="164" fontId="1" fillId="2" borderId="0" pivotButton="0" quotePrefix="0" xfId="0"/>
    <xf numFmtId="165" fontId="1" fillId="2" borderId="0" pivotButton="0" quotePrefix="0" xfId="0"/>
    <xf numFmtId="2" fontId="1" fillId="2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2" fontId="3" fillId="4" borderId="0" pivotButton="0" quotePrefix="0" xfId="0"/>
    <xf numFmtId="0" fontId="1" fillId="3" borderId="0" pivotButton="0" quotePrefix="0" xfId="0"/>
    <xf numFmtId="0" fontId="4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Hospital Expansion - Cumulative S-Curve Progress</a:t>
            </a:r>
          </a:p>
        </rich>
      </tx>
    </title>
    <plotArea>
      <lineChart>
        <grouping val="standard"/>
        <ser>
          <idx val="0"/>
          <order val="0"/>
          <tx>
            <strRef>
              <f>'S-Curve Progress'!B1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'S-Curve Progress'!$A$2:$A$9</f>
            </numRef>
          </cat>
          <val>
            <numRef>
              <f>'S-Curve Progress'!$B$2:$B$9</f>
            </numRef>
          </val>
        </ser>
        <ser>
          <idx val="1"/>
          <order val="1"/>
          <tx>
            <strRef>
              <f>'S-Curve Progress'!C1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'S-Curve Progress'!$A$2:$A$9</f>
            </numRef>
          </cat>
          <val>
            <numRef>
              <f>'S-Curve Progress'!$C$2:$C$9</f>
            </numRef>
          </val>
        </ser>
        <ser>
          <idx val="2"/>
          <order val="2"/>
          <tx>
            <strRef>
              <f>'S-Curve Progress'!D1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'S-Curve Progress'!$A$2:$A$9</f>
            </numRef>
          </cat>
          <val>
            <numRef>
              <f>'S-Curve Progress'!$D$2:$D$9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5" customWidth="1" min="4" max="4"/>
    <col width="14" customWidth="1" min="5" max="5"/>
    <col width="15" customWidth="1" min="6" max="6"/>
    <col width="15" customWidth="1" min="7" max="7"/>
    <col width="14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WBS Code</t>
        </is>
      </c>
      <c r="B1" s="1" t="inlineStr">
        <is>
          <t>Activity Description</t>
        </is>
      </c>
      <c r="C1" s="1" t="inlineStr">
        <is>
          <t>Status</t>
        </is>
      </c>
      <c r="D1" s="1" t="inlineStr">
        <is>
          <t>Orig Dur (d)</t>
        </is>
      </c>
      <c r="E1" s="1" t="inlineStr">
        <is>
          <t>Phys % Comp</t>
        </is>
      </c>
      <c r="F1" s="1" t="inlineStr">
        <is>
          <t>Budget (BAC)</t>
        </is>
      </c>
      <c r="G1" s="1" t="inlineStr">
        <is>
          <t>Planned (PV)</t>
        </is>
      </c>
      <c r="H1" s="1" t="inlineStr">
        <is>
          <t>Earned (EV)</t>
        </is>
      </c>
      <c r="I1" s="1" t="inlineStr">
        <is>
          <t>Actual (AC)</t>
        </is>
      </c>
      <c r="J1" s="1" t="inlineStr">
        <is>
          <t>SPI</t>
        </is>
      </c>
      <c r="K1" s="1" t="inlineStr">
        <is>
          <t>CPI</t>
        </is>
      </c>
    </row>
    <row r="2">
      <c r="A2" s="2" t="inlineStr">
        <is>
          <t>1</t>
        </is>
      </c>
      <c r="B2" s="2" t="inlineStr">
        <is>
          <t>HOSPITAL EXPANSION &amp; CLINICAL CENTER</t>
        </is>
      </c>
      <c r="C2" s="2" t="inlineStr">
        <is>
          <t>Active</t>
        </is>
      </c>
      <c r="D2" s="2" t="n">
        <v>240</v>
      </c>
      <c r="E2" s="3" t="n">
        <v>0.333</v>
      </c>
      <c r="F2" s="4" t="n">
        <v>2500000</v>
      </c>
      <c r="G2" s="4" t="n">
        <v>1200000</v>
      </c>
      <c r="H2" s="4" t="n">
        <v>832500</v>
      </c>
      <c r="I2" s="4" t="n">
        <v>950000</v>
      </c>
      <c r="J2" s="5">
        <f>I2/H2</f>
        <v/>
      </c>
      <c r="K2" s="5">
        <f>I2/J2</f>
        <v/>
      </c>
    </row>
    <row r="3">
      <c r="A3" s="6" t="inlineStr">
        <is>
          <t>1.1</t>
        </is>
      </c>
      <c r="B3" s="6" t="inlineStr">
        <is>
          <t>Engineering &amp; Detailed Design</t>
        </is>
      </c>
      <c r="C3" s="6" t="inlineStr">
        <is>
          <t>Complete</t>
        </is>
      </c>
      <c r="D3" s="6" t="n">
        <v>40</v>
      </c>
      <c r="E3" s="7" t="n">
        <v>1</v>
      </c>
      <c r="F3" s="8" t="n">
        <v>200000</v>
      </c>
      <c r="G3" s="8" t="n">
        <v>200000</v>
      </c>
      <c r="H3" s="8" t="n">
        <v>200000</v>
      </c>
      <c r="I3" s="8" t="n">
        <v>195000</v>
      </c>
      <c r="J3" s="9">
        <f>I3/H3</f>
        <v/>
      </c>
      <c r="K3" s="9">
        <f>I3/J3</f>
        <v/>
      </c>
    </row>
    <row r="4">
      <c r="A4" s="10" t="inlineStr">
        <is>
          <t>1.1.1</t>
        </is>
      </c>
      <c r="B4" s="10" t="inlineStr">
        <is>
          <t>Architectural Concept &amp; Layouts</t>
        </is>
      </c>
      <c r="C4" s="10" t="inlineStr">
        <is>
          <t>Complete</t>
        </is>
      </c>
      <c r="D4" s="10" t="n">
        <v>20</v>
      </c>
      <c r="E4" s="11" t="n">
        <v>1</v>
      </c>
      <c r="F4" s="12" t="n">
        <v>100000</v>
      </c>
      <c r="G4" s="12" t="n">
        <v>100000</v>
      </c>
      <c r="H4" s="12" t="n">
        <v>100000</v>
      </c>
      <c r="I4" s="12" t="n">
        <v>95000</v>
      </c>
      <c r="J4" s="13">
        <f>I4/H4</f>
        <v/>
      </c>
      <c r="K4" s="13">
        <f>I4/J4</f>
        <v/>
      </c>
    </row>
    <row r="5">
      <c r="A5" s="10" t="inlineStr">
        <is>
          <t>1.1.2</t>
        </is>
      </c>
      <c r="B5" s="10" t="inlineStr">
        <is>
          <t>Structural Calculations &amp; BIM Model</t>
        </is>
      </c>
      <c r="C5" s="10" t="inlineStr">
        <is>
          <t>Complete</t>
        </is>
      </c>
      <c r="D5" s="10" t="n">
        <v>15</v>
      </c>
      <c r="E5" s="11" t="n">
        <v>1</v>
      </c>
      <c r="F5" s="12" t="n">
        <v>60000</v>
      </c>
      <c r="G5" s="12" t="n">
        <v>60000</v>
      </c>
      <c r="H5" s="12" t="n">
        <v>60000</v>
      </c>
      <c r="I5" s="12" t="n">
        <v>60000</v>
      </c>
      <c r="J5" s="13">
        <f>I5/H5</f>
        <v/>
      </c>
      <c r="K5" s="13">
        <f>I5/J5</f>
        <v/>
      </c>
    </row>
    <row r="6">
      <c r="A6" s="10" t="inlineStr">
        <is>
          <t>1.1.3</t>
        </is>
      </c>
      <c r="B6" s="10" t="inlineStr">
        <is>
          <t>MEP Engineering Specifications</t>
        </is>
      </c>
      <c r="C6" s="10" t="inlineStr">
        <is>
          <t>Complete</t>
        </is>
      </c>
      <c r="D6" s="10" t="n">
        <v>20</v>
      </c>
      <c r="E6" s="11" t="n">
        <v>1</v>
      </c>
      <c r="F6" s="12" t="n">
        <v>40000</v>
      </c>
      <c r="G6" s="12" t="n">
        <v>40000</v>
      </c>
      <c r="H6" s="12" t="n">
        <v>40000</v>
      </c>
      <c r="I6" s="12" t="n">
        <v>40000</v>
      </c>
      <c r="J6" s="13">
        <f>I6/H6</f>
        <v/>
      </c>
      <c r="K6" s="13">
        <f>I6/J6</f>
        <v/>
      </c>
    </row>
    <row r="7">
      <c r="A7" s="6" t="inlineStr">
        <is>
          <t>1.2</t>
        </is>
      </c>
      <c r="B7" s="6" t="inlineStr">
        <is>
          <t>Procurement &amp; Subcontracts</t>
        </is>
      </c>
      <c r="C7" s="6" t="inlineStr">
        <is>
          <t>Active</t>
        </is>
      </c>
      <c r="D7" s="6" t="n">
        <v>60</v>
      </c>
      <c r="E7" s="7" t="n">
        <v>0.25</v>
      </c>
      <c r="F7" s="8" t="n">
        <v>800000</v>
      </c>
      <c r="G7" s="8" t="n">
        <v>400000</v>
      </c>
      <c r="H7" s="8" t="n">
        <v>200000</v>
      </c>
      <c r="I7" s="8" t="n">
        <v>250000</v>
      </c>
      <c r="J7" s="9">
        <f>I7/H7</f>
        <v/>
      </c>
      <c r="K7" s="9">
        <f>I7/J7</f>
        <v/>
      </c>
    </row>
    <row r="8">
      <c r="A8" s="10" t="inlineStr">
        <is>
          <t>1.2.1</t>
        </is>
      </c>
      <c r="B8" s="10" t="inlineStr">
        <is>
          <t>HV Switchgear &amp; Substation Package</t>
        </is>
      </c>
      <c r="C8" s="10" t="inlineStr">
        <is>
          <t>Active</t>
        </is>
      </c>
      <c r="D8" s="10" t="n">
        <v>60</v>
      </c>
      <c r="E8" s="11" t="n">
        <v>0.25</v>
      </c>
      <c r="F8" s="12" t="n">
        <v>500000</v>
      </c>
      <c r="G8" s="12" t="n">
        <v>250000</v>
      </c>
      <c r="H8" s="12" t="n">
        <v>125000</v>
      </c>
      <c r="I8" s="12" t="n">
        <v>150000</v>
      </c>
      <c r="J8" s="13">
        <f>I8/H8</f>
        <v/>
      </c>
      <c r="K8" s="13">
        <f>I8/J8</f>
        <v/>
      </c>
    </row>
    <row r="9">
      <c r="A9" s="10" t="inlineStr">
        <is>
          <t>1.2.2</t>
        </is>
      </c>
      <c r="B9" s="10" t="inlineStr">
        <is>
          <t>Chillers &amp; AHU Packages</t>
        </is>
      </c>
      <c r="C9" s="10" t="inlineStr">
        <is>
          <t>Not Start</t>
        </is>
      </c>
      <c r="D9" s="10" t="n">
        <v>50</v>
      </c>
      <c r="E9" s="11" t="n">
        <v>0</v>
      </c>
      <c r="F9" s="12" t="n">
        <v>300000</v>
      </c>
      <c r="G9" s="12" t="n">
        <v>150000</v>
      </c>
      <c r="H9" s="12" t="n">
        <v>75000</v>
      </c>
      <c r="I9" s="12" t="n">
        <v>100000</v>
      </c>
      <c r="J9" s="13">
        <f>I9/H9</f>
        <v/>
      </c>
      <c r="K9" s="13">
        <f>I9/J9</f>
        <v/>
      </c>
    </row>
    <row r="10">
      <c r="A10" s="6" t="inlineStr">
        <is>
          <t>1.3</t>
        </is>
      </c>
      <c r="B10" s="6" t="inlineStr">
        <is>
          <t>Civil &amp; Structural Works</t>
        </is>
      </c>
      <c r="C10" s="6" t="inlineStr">
        <is>
          <t>Active</t>
        </is>
      </c>
      <c r="D10" s="6" t="n">
        <v>100</v>
      </c>
      <c r="E10" s="7" t="n">
        <v>0.4</v>
      </c>
      <c r="F10" s="8" t="n">
        <v>900000</v>
      </c>
      <c r="G10" s="8" t="n">
        <v>450000</v>
      </c>
      <c r="H10" s="8" t="n">
        <v>360000</v>
      </c>
      <c r="I10" s="8" t="n">
        <v>410000</v>
      </c>
      <c r="J10" s="9">
        <f>I10/H10</f>
        <v/>
      </c>
      <c r="K10" s="9">
        <f>I10/J10</f>
        <v/>
      </c>
    </row>
    <row r="11">
      <c r="A11" s="10" t="inlineStr">
        <is>
          <t>1.3.1</t>
        </is>
      </c>
      <c r="B11" s="10" t="inlineStr">
        <is>
          <t>Site Excavation, Shoring &amp; Dewatering</t>
        </is>
      </c>
      <c r="C11" s="10" t="inlineStr">
        <is>
          <t>Active</t>
        </is>
      </c>
      <c r="D11" s="10" t="n">
        <v>30</v>
      </c>
      <c r="E11" s="11" t="n">
        <v>0.75</v>
      </c>
      <c r="F11" s="12" t="n">
        <v>300000</v>
      </c>
      <c r="G11" s="12" t="n">
        <v>250000</v>
      </c>
      <c r="H11" s="12" t="n">
        <v>225000</v>
      </c>
      <c r="I11" s="12" t="n">
        <v>240000</v>
      </c>
      <c r="J11" s="13">
        <f>I11/H11</f>
        <v/>
      </c>
      <c r="K11" s="13">
        <f>I11/J11</f>
        <v/>
      </c>
    </row>
    <row r="12">
      <c r="A12" s="10" t="inlineStr">
        <is>
          <t>1.3.2</t>
        </is>
      </c>
      <c r="B12" s="10" t="inlineStr">
        <is>
          <t>Foundation Raft &amp; Retaining Walls</t>
        </is>
      </c>
      <c r="C12" s="10" t="inlineStr">
        <is>
          <t>Not Start</t>
        </is>
      </c>
      <c r="D12" s="10" t="n">
        <v>40</v>
      </c>
      <c r="E12" s="11" t="n">
        <v>0</v>
      </c>
      <c r="F12" s="12" t="n">
        <v>400000</v>
      </c>
      <c r="G12" s="12" t="n">
        <v>100000</v>
      </c>
      <c r="H12" s="12" t="n">
        <v>50000</v>
      </c>
      <c r="I12" s="12" t="n">
        <v>70000</v>
      </c>
      <c r="J12" s="13">
        <f>I12/H12</f>
        <v/>
      </c>
      <c r="K12" s="13">
        <f>I12/J12</f>
        <v/>
      </c>
    </row>
    <row r="13">
      <c r="A13" s="10" t="inlineStr">
        <is>
          <t>1.3.3</t>
        </is>
      </c>
      <c r="B13" s="10" t="inlineStr">
        <is>
          <t>Superstructure Concrete Pour</t>
        </is>
      </c>
      <c r="C13" s="10" t="inlineStr">
        <is>
          <t>Not Start</t>
        </is>
      </c>
      <c r="D13" s="10" t="n">
        <v>60</v>
      </c>
      <c r="E13" s="11" t="n">
        <v>0</v>
      </c>
      <c r="F13" s="12" t="n">
        <v>200000</v>
      </c>
      <c r="G13" s="12" t="n">
        <v>100000</v>
      </c>
      <c r="H13" s="12" t="n">
        <v>85000</v>
      </c>
      <c r="I13" s="12" t="n">
        <v>100000</v>
      </c>
      <c r="J13" s="13">
        <f>I13/H13</f>
        <v/>
      </c>
      <c r="K13" s="13">
        <f>I13/J13</f>
        <v/>
      </c>
    </row>
    <row r="14">
      <c r="A14" s="6" t="inlineStr">
        <is>
          <t>1.4</t>
        </is>
      </c>
      <c r="B14" s="6" t="inlineStr">
        <is>
          <t>MEP &amp; Interior Fitout</t>
        </is>
      </c>
      <c r="C14" s="6" t="inlineStr">
        <is>
          <t>Not Start</t>
        </is>
      </c>
      <c r="D14" s="6" t="n">
        <v>40</v>
      </c>
      <c r="E14" s="7" t="n">
        <v>0</v>
      </c>
      <c r="F14" s="8" t="n">
        <v>400000</v>
      </c>
      <c r="G14" s="8" t="n">
        <v>100000</v>
      </c>
      <c r="H14" s="8" t="n">
        <v>50000</v>
      </c>
      <c r="I14" s="8" t="n">
        <v>65000</v>
      </c>
      <c r="J14" s="9">
        <f>I14/H14</f>
        <v/>
      </c>
      <c r="K14" s="9">
        <f>I14/J14</f>
        <v/>
      </c>
    </row>
    <row r="15">
      <c r="A15" s="6" t="inlineStr">
        <is>
          <t>1.5</t>
        </is>
      </c>
      <c r="B15" s="6" t="inlineStr">
        <is>
          <t>Testing, Commissioning &amp; Handover</t>
        </is>
      </c>
      <c r="C15" s="6" t="inlineStr">
        <is>
          <t>Not Start</t>
        </is>
      </c>
      <c r="D15" s="6" t="n">
        <v>25</v>
      </c>
      <c r="E15" s="7" t="n">
        <v>0</v>
      </c>
      <c r="F15" s="8" t="n">
        <v>200000</v>
      </c>
      <c r="G15" s="8" t="n">
        <v>50000</v>
      </c>
      <c r="H15" s="8" t="n">
        <v>22500</v>
      </c>
      <c r="I15" s="8" t="n">
        <v>30000</v>
      </c>
      <c r="J15" s="9">
        <f>I15/H15</f>
        <v/>
      </c>
      <c r="K15" s="9">
        <f>I15/J15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9" customWidth="1" min="4" max="4"/>
  </cols>
  <sheetData>
    <row r="1">
      <c r="A1" s="6" t="inlineStr">
        <is>
          <t>Month</t>
        </is>
      </c>
      <c r="B1" s="6" t="inlineStr">
        <is>
          <t>Planned Value (PV)</t>
        </is>
      </c>
      <c r="C1" s="6" t="inlineStr">
        <is>
          <t>Earned Value (EV)</t>
        </is>
      </c>
      <c r="D1" s="6" t="inlineStr">
        <is>
          <t>Actual Cost (AC)</t>
        </is>
      </c>
    </row>
    <row r="2">
      <c r="A2" t="inlineStr">
        <is>
          <t>Jan-26</t>
        </is>
      </c>
      <c r="B2" t="n">
        <v>100000</v>
      </c>
      <c r="C2" t="n">
        <v>95000</v>
      </c>
      <c r="D2" t="n">
        <v>90000</v>
      </c>
    </row>
    <row r="3">
      <c r="A3" t="inlineStr">
        <is>
          <t>Feb-26</t>
        </is>
      </c>
      <c r="B3" t="n">
        <v>250000</v>
      </c>
      <c r="C3" t="n">
        <v>240000</v>
      </c>
      <c r="D3" t="n">
        <v>235000</v>
      </c>
    </row>
    <row r="4">
      <c r="A4" t="inlineStr">
        <is>
          <t>Mar-26</t>
        </is>
      </c>
      <c r="B4" t="n">
        <v>480000</v>
      </c>
      <c r="C4" t="n">
        <v>420000</v>
      </c>
      <c r="D4" t="n">
        <v>460000</v>
      </c>
    </row>
    <row r="5">
      <c r="A5" t="inlineStr">
        <is>
          <t>Apr-26</t>
        </is>
      </c>
      <c r="B5" t="n">
        <v>750000</v>
      </c>
      <c r="C5" t="n">
        <v>630000</v>
      </c>
      <c r="D5" t="n">
        <v>710000</v>
      </c>
    </row>
    <row r="6">
      <c r="A6" t="inlineStr">
        <is>
          <t>May-26</t>
        </is>
      </c>
      <c r="B6" t="n">
        <v>1200000</v>
      </c>
      <c r="C6" t="n">
        <v>832500</v>
      </c>
      <c r="D6" t="n">
        <v>950000</v>
      </c>
    </row>
    <row r="7">
      <c r="A7" t="inlineStr">
        <is>
          <t>Jun-26</t>
        </is>
      </c>
      <c r="B7" t="n">
        <v>1650000</v>
      </c>
    </row>
    <row r="8">
      <c r="A8" t="inlineStr">
        <is>
          <t>Jul-26</t>
        </is>
      </c>
      <c r="B8" t="n">
        <v>2100000</v>
      </c>
    </row>
    <row r="9">
      <c r="A9" t="inlineStr">
        <is>
          <t>Aug-26</t>
        </is>
      </c>
      <c r="B9" t="n">
        <v>2500000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9" customWidth="1" min="3" max="3"/>
    <col width="20" customWidth="1" min="4" max="4"/>
    <col width="20" customWidth="1" min="5" max="5"/>
  </cols>
  <sheetData>
    <row r="1">
      <c r="A1" s="14" t="inlineStr">
        <is>
          <t>Metric #</t>
        </is>
      </c>
      <c r="B1" s="14" t="inlineStr">
        <is>
          <t>DCMA Check Description</t>
        </is>
      </c>
      <c r="C1" s="14" t="inlineStr">
        <is>
          <t>Target Threshold</t>
        </is>
      </c>
      <c r="D1" s="14" t="inlineStr">
        <is>
          <t>Actual Score</t>
        </is>
      </c>
      <c r="E1" s="14" t="inlineStr">
        <is>
          <t>Compliance Status</t>
        </is>
      </c>
    </row>
    <row r="2">
      <c r="A2" t="inlineStr">
        <is>
          <t>1</t>
        </is>
      </c>
      <c r="B2" t="inlineStr">
        <is>
          <t>Logic (Missing Predecessor or Successor)</t>
        </is>
      </c>
      <c r="C2" t="inlineStr">
        <is>
          <t>&lt;= 5%</t>
        </is>
      </c>
      <c r="D2" t="inlineStr">
        <is>
          <t>36.36%</t>
        </is>
      </c>
      <c r="E2" s="15" t="inlineStr">
        <is>
          <t>FAIL</t>
        </is>
      </c>
    </row>
    <row r="3">
      <c r="A3" t="inlineStr">
        <is>
          <t>2</t>
        </is>
      </c>
      <c r="B3" t="inlineStr">
        <is>
          <t>Leads (Negative Lags)</t>
        </is>
      </c>
      <c r="C3" t="inlineStr">
        <is>
          <t>0%</t>
        </is>
      </c>
      <c r="D3" t="inlineStr">
        <is>
          <t>0.00%</t>
        </is>
      </c>
      <c r="E3" s="16" t="inlineStr">
        <is>
          <t>PASS</t>
        </is>
      </c>
    </row>
    <row r="4">
      <c r="A4" t="inlineStr">
        <is>
          <t>3</t>
        </is>
      </c>
      <c r="B4" t="inlineStr">
        <is>
          <t>Lags (Positive Lags &gt; 0)</t>
        </is>
      </c>
      <c r="C4" t="inlineStr">
        <is>
          <t>&lt;= 5%</t>
        </is>
      </c>
      <c r="D4" t="inlineStr">
        <is>
          <t>0.00%</t>
        </is>
      </c>
      <c r="E4" s="16" t="inlineStr">
        <is>
          <t>PASS</t>
        </is>
      </c>
    </row>
    <row r="5">
      <c r="A5" t="inlineStr">
        <is>
          <t>4</t>
        </is>
      </c>
      <c r="B5" t="inlineStr">
        <is>
          <t>Relationship Types (Finish-to-Start Preference)</t>
        </is>
      </c>
      <c r="C5" t="inlineStr">
        <is>
          <t>&gt;= 90% FS</t>
        </is>
      </c>
      <c r="D5" t="inlineStr">
        <is>
          <t>100.00%</t>
        </is>
      </c>
      <c r="E5" s="16" t="inlineStr">
        <is>
          <t>PASS</t>
        </is>
      </c>
    </row>
    <row r="6">
      <c r="A6" t="inlineStr">
        <is>
          <t>5</t>
        </is>
      </c>
      <c r="B6" t="inlineStr">
        <is>
          <t>Hard Constraints</t>
        </is>
      </c>
      <c r="C6" t="inlineStr">
        <is>
          <t>&lt;= 5%</t>
        </is>
      </c>
      <c r="D6" t="inlineStr">
        <is>
          <t>0.00%</t>
        </is>
      </c>
      <c r="E6" s="16" t="inlineStr">
        <is>
          <t>PASS</t>
        </is>
      </c>
    </row>
    <row r="7">
      <c r="A7" t="inlineStr">
        <is>
          <t>6</t>
        </is>
      </c>
      <c r="B7" t="inlineStr">
        <is>
          <t>High Float (&gt; 44 Working Days)</t>
        </is>
      </c>
      <c r="C7" t="inlineStr">
        <is>
          <t>&lt;= 5%</t>
        </is>
      </c>
      <c r="D7" t="inlineStr">
        <is>
          <t>0.00%</t>
        </is>
      </c>
      <c r="E7" s="16" t="inlineStr">
        <is>
          <t>PASS</t>
        </is>
      </c>
    </row>
    <row r="8">
      <c r="A8" t="inlineStr">
        <is>
          <t>7</t>
        </is>
      </c>
      <c r="B8" t="inlineStr">
        <is>
          <t>Negative Total Float</t>
        </is>
      </c>
      <c r="C8" t="inlineStr">
        <is>
          <t>0%</t>
        </is>
      </c>
      <c r="D8" t="inlineStr">
        <is>
          <t>72.73%</t>
        </is>
      </c>
      <c r="E8" s="15" t="inlineStr">
        <is>
          <t>FAIL</t>
        </is>
      </c>
    </row>
    <row r="9">
      <c r="A9" t="inlineStr">
        <is>
          <t>8</t>
        </is>
      </c>
      <c r="B9" t="inlineStr">
        <is>
          <t>High Duration (&gt; 44 Working Days)</t>
        </is>
      </c>
      <c r="C9" t="inlineStr">
        <is>
          <t>&lt;= 5%</t>
        </is>
      </c>
      <c r="D9" t="inlineStr">
        <is>
          <t>27.27%</t>
        </is>
      </c>
      <c r="E9" s="15" t="inlineStr">
        <is>
          <t>FAIL</t>
        </is>
      </c>
    </row>
    <row r="10">
      <c r="A10" t="inlineStr">
        <is>
          <t>9</t>
        </is>
      </c>
      <c r="B10" t="inlineStr">
        <is>
          <t>Invalid Dates Integrity</t>
        </is>
      </c>
      <c r="C10" t="inlineStr">
        <is>
          <t>0%</t>
        </is>
      </c>
      <c r="D10" t="inlineStr">
        <is>
          <t>0.00%</t>
        </is>
      </c>
      <c r="E10" s="16" t="inlineStr">
        <is>
          <t>PASS</t>
        </is>
      </c>
    </row>
    <row r="11">
      <c r="A11" t="inlineStr">
        <is>
          <t>10</t>
        </is>
      </c>
      <c r="B11" t="inlineStr">
        <is>
          <t>Resource Assignment Loading</t>
        </is>
      </c>
      <c r="C11" t="inlineStr">
        <is>
          <t>100% Loaded</t>
        </is>
      </c>
      <c r="D11" t="inlineStr">
        <is>
          <t>100.00%</t>
        </is>
      </c>
      <c r="E11" s="16" t="inlineStr">
        <is>
          <t>PASS</t>
        </is>
      </c>
    </row>
    <row r="12">
      <c r="A12" t="inlineStr">
        <is>
          <t>11</t>
        </is>
      </c>
      <c r="B12" t="inlineStr">
        <is>
          <t>Missed Tasks (Execution vs Baseline Finish)</t>
        </is>
      </c>
      <c r="C12" t="inlineStr">
        <is>
          <t>&lt;= 5%</t>
        </is>
      </c>
      <c r="D12" t="inlineStr">
        <is>
          <t>0.00%</t>
        </is>
      </c>
      <c r="E12" s="16" t="inlineStr">
        <is>
          <t>PASS</t>
        </is>
      </c>
    </row>
    <row r="13">
      <c r="A13" t="inlineStr">
        <is>
          <t>12</t>
        </is>
      </c>
      <c r="B13" t="inlineStr">
        <is>
          <t>Critical Path Integrity Test</t>
        </is>
      </c>
      <c r="C13" t="inlineStr">
        <is>
          <t>Continuous</t>
        </is>
      </c>
      <c r="D13" t="inlineStr">
        <is>
          <t>Pass (Continuous)</t>
        </is>
      </c>
      <c r="E13" s="16" t="inlineStr">
        <is>
          <t>PASS</t>
        </is>
      </c>
    </row>
    <row r="14">
      <c r="A14" t="inlineStr">
        <is>
          <t>13</t>
        </is>
      </c>
      <c r="B14" t="inlineStr">
        <is>
          <t>Critical Path Float Consumption Index (CAPI)</t>
        </is>
      </c>
      <c r="C14" t="inlineStr">
        <is>
          <t>0.95 - 1.05</t>
        </is>
      </c>
      <c r="D14" t="inlineStr">
        <is>
          <t>1.00</t>
        </is>
      </c>
      <c r="E14" s="16" t="inlineStr">
        <is>
          <t>PASS</t>
        </is>
      </c>
    </row>
    <row r="15">
      <c r="A15" t="inlineStr">
        <is>
          <t>14</t>
        </is>
      </c>
      <c r="B15" t="inlineStr">
        <is>
          <t>Baseline Execution Index (BEI)</t>
        </is>
      </c>
      <c r="C15" t="inlineStr">
        <is>
          <t>&gt;= 0.95</t>
        </is>
      </c>
      <c r="D15" t="inlineStr">
        <is>
          <t>1.00</t>
        </is>
      </c>
      <c r="E15" s="1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4" customWidth="1" min="3" max="3"/>
    <col width="15" customWidth="1" min="4" max="4"/>
    <col width="16" customWidth="1" min="5" max="5"/>
    <col width="14" customWidth="1" min="6" max="6"/>
    <col width="31" customWidth="1" min="7" max="7"/>
    <col width="14" customWidth="1" min="8" max="8"/>
  </cols>
  <sheetData>
    <row r="1">
      <c r="A1" s="6" t="inlineStr">
        <is>
          <t>Activity ID</t>
        </is>
      </c>
      <c r="B1" s="6" t="inlineStr">
        <is>
          <t>Activity Name</t>
        </is>
      </c>
      <c r="C1" s="6" t="inlineStr">
        <is>
          <t>Early Start</t>
        </is>
      </c>
      <c r="D1" s="6" t="inlineStr">
        <is>
          <t>Early Finish</t>
        </is>
      </c>
      <c r="E1" s="6" t="inlineStr">
        <is>
          <t>Remaining Dur</t>
        </is>
      </c>
      <c r="F1" s="6" t="inlineStr">
        <is>
          <t>Total Float</t>
        </is>
      </c>
      <c r="G1" s="6" t="inlineStr">
        <is>
          <t>Assigned Resource</t>
        </is>
      </c>
      <c r="H1" s="6" t="inlineStr">
        <is>
          <t>Status</t>
        </is>
      </c>
    </row>
    <row r="2">
      <c r="A2" t="inlineStr">
        <is>
          <t>HV-101</t>
        </is>
      </c>
      <c r="B2" t="inlineStr">
        <is>
          <t>HV Switchgear Delivery &amp; Rigging</t>
        </is>
      </c>
      <c r="C2" t="inlineStr">
        <is>
          <t>01-Jun-26</t>
        </is>
      </c>
      <c r="D2" t="inlineStr">
        <is>
          <t>20-Jun-26</t>
        </is>
      </c>
      <c r="E2" t="inlineStr">
        <is>
          <t>15d</t>
        </is>
      </c>
      <c r="F2" t="inlineStr">
        <is>
          <t>0d</t>
        </is>
      </c>
      <c r="G2" t="inlineStr">
        <is>
          <t>Electrical Crew A</t>
        </is>
      </c>
      <c r="H2" t="inlineStr">
        <is>
          <t>In Progress</t>
        </is>
      </c>
    </row>
    <row r="3">
      <c r="A3" t="inlineStr">
        <is>
          <t>HV-102</t>
        </is>
      </c>
      <c r="B3" t="inlineStr">
        <is>
          <t>Transformer Substation Cable Pulling</t>
        </is>
      </c>
      <c r="C3" t="inlineStr">
        <is>
          <t>10-Jun-26</t>
        </is>
      </c>
      <c r="D3" t="inlineStr">
        <is>
          <t>30-Jun-26</t>
        </is>
      </c>
      <c r="E3" t="inlineStr">
        <is>
          <t>15d</t>
        </is>
      </c>
      <c r="F3" t="inlineStr">
        <is>
          <t>0d</t>
        </is>
      </c>
      <c r="G3" t="inlineStr">
        <is>
          <t>Subcontractor - High Voltage</t>
        </is>
      </c>
      <c r="H3" t="inlineStr">
        <is>
          <t>In Progress</t>
        </is>
      </c>
    </row>
    <row r="4">
      <c r="A4" t="inlineStr">
        <is>
          <t>CIV-201</t>
        </is>
      </c>
      <c r="B4" t="inlineStr">
        <is>
          <t>Excavation Zone B Deep Pit</t>
        </is>
      </c>
      <c r="C4" t="inlineStr">
        <is>
          <t>01-Jun-26</t>
        </is>
      </c>
      <c r="D4" t="inlineStr">
        <is>
          <t>15-Jun-26</t>
        </is>
      </c>
      <c r="E4" t="inlineStr">
        <is>
          <t>10d</t>
        </is>
      </c>
      <c r="F4" t="inlineStr">
        <is>
          <t>5d</t>
        </is>
      </c>
      <c r="G4" t="inlineStr">
        <is>
          <t>Earthmoving Plant #3</t>
        </is>
      </c>
      <c r="H4" t="inlineStr">
        <is>
          <t>In Progress</t>
        </is>
      </c>
    </row>
    <row r="5">
      <c r="A5" t="inlineStr">
        <is>
          <t>CIV-202</t>
        </is>
      </c>
      <c r="B5" t="inlineStr">
        <is>
          <t>Retaining Wall Shoring &amp; Anchoring</t>
        </is>
      </c>
      <c r="C5" t="inlineStr">
        <is>
          <t>16-Jun-26</t>
        </is>
      </c>
      <c r="D5" t="inlineStr">
        <is>
          <t>30-Jun-26</t>
        </is>
      </c>
      <c r="E5" t="inlineStr">
        <is>
          <t>12d</t>
        </is>
      </c>
      <c r="F5" t="inlineStr">
        <is>
          <t>5d</t>
        </is>
      </c>
      <c r="G5" t="inlineStr">
        <is>
          <t>Specialist Piling Contractor</t>
        </is>
      </c>
      <c r="H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2026-08-31T11:47:06Z</dcterms:created>
  <dcterms:modified xmlns:dcterms="http://purl.org/dc/terms/" xmlns:xsi="http://www.w3.org/2001/XMLSchema-instance" xsi:type="dcterms:W3CDTF">2026-08-31T11:47:06Z</dcterms:modified>
</cp:coreProperties>
</file>